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gw\Google Drive\Research\websites\riskblog\"/>
    </mc:Choice>
  </mc:AlternateContent>
  <bookViews>
    <workbookView xWindow="0" yWindow="0" windowWidth="17143" windowHeight="11923" tabRatio="500" xr2:uid="{00000000-000D-0000-FFFF-FFFF00000000}"/>
  </bookViews>
  <sheets>
    <sheet name="README" sheetId="2" r:id="rId1"/>
    <sheet name="Reading_list" sheetId="1" r:id="rId2"/>
  </sheets>
  <definedNames>
    <definedName name="_xlnm._FilterDatabase" localSheetId="1" hidden="1">Reading_list!#REF!</definedName>
    <definedName name="_xlnm.Extract" localSheetId="1">Reading_list!$A$284:$L$284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M7" i="1" l="1"/>
  <c r="N7" i="1"/>
</calcChain>
</file>

<file path=xl/sharedStrings.xml><?xml version="1.0" encoding="utf-8"?>
<sst xmlns="http://schemas.openxmlformats.org/spreadsheetml/2006/main" count="73" uniqueCount="67">
  <si>
    <t>Author</t>
  </si>
  <si>
    <t>Title</t>
  </si>
  <si>
    <t>Year</t>
  </si>
  <si>
    <t>Date read</t>
  </si>
  <si>
    <t>Journal</t>
  </si>
  <si>
    <t>Keywords</t>
  </si>
  <si>
    <t>Location</t>
  </si>
  <si>
    <t>Main ideas</t>
  </si>
  <si>
    <t>Methods</t>
  </si>
  <si>
    <t>Results</t>
  </si>
  <si>
    <t>Other notes</t>
  </si>
  <si>
    <t>My thoughts</t>
  </si>
  <si>
    <t>USA</t>
  </si>
  <si>
    <t>OR</t>
  </si>
  <si>
    <t>AND</t>
  </si>
  <si>
    <t>All</t>
  </si>
  <si>
    <t>Column(s) / data to search</t>
  </si>
  <si>
    <t>Notes (H:L)</t>
  </si>
  <si>
    <t>Hey!</t>
  </si>
  <si>
    <t>This is a quick page that might help you if you run into challenges with the macros.</t>
  </si>
  <si>
    <t>The macros are very sensitive to changes in the worksheet and workbook. It can be super annoying.</t>
  </si>
  <si>
    <t>Note the hidden OR and AND columns which are the basis of the filtering.</t>
  </si>
  <si>
    <t>If you get an error, check the following things:</t>
  </si>
  <si>
    <t>1) open the macro code</t>
  </si>
  <si>
    <t>Right click on the name of the worksheet and click "view code"</t>
  </si>
  <si>
    <t>This will open a VBA window</t>
  </si>
  <si>
    <t>On the Lefthand panel there is a list of modules. Each of these relates to either the clear filter, the apply OR, or apply AND buttons</t>
  </si>
  <si>
    <t>2) check the worksheet name</t>
  </si>
  <si>
    <t>The first error could be caused because it doesn't know the sheet name</t>
  </si>
  <si>
    <t>See this line of code</t>
  </si>
  <si>
    <t>Worksheets("Sheet1").AutoFilterMode = False</t>
  </si>
  <si>
    <t>Make sure that everywhere it says "Sheet1" is refering to the name of the tab (i.e. worksheet) your button is in</t>
  </si>
  <si>
    <t>3) Check the range</t>
  </si>
  <si>
    <t>This line</t>
  </si>
  <si>
    <t>If you add a column, you will need to change the range to include the new column number</t>
  </si>
  <si>
    <t>If you add or remove a row, you'll need to change the number to refer to the header row</t>
  </si>
  <si>
    <t>4) Check the criteria</t>
  </si>
  <si>
    <t>If you add a column, then you also need to repoint the field to the flag column</t>
  </si>
  <si>
    <t>See this code</t>
  </si>
  <si>
    <t>Field:=13, _</t>
  </si>
  <si>
    <t>Field refers to the column number of the flag column.</t>
  </si>
  <si>
    <t>The OR field value is the column number of the True/False column for the OR</t>
  </si>
  <si>
    <t>etc.</t>
  </si>
  <si>
    <t>So remember to change it</t>
  </si>
  <si>
    <t>Worksheets("Sheet1").Range("A6:N6").AutoFilter</t>
  </si>
  <si>
    <t>refers to the range on which to apply the filter (these should be the column names of the Table)</t>
  </si>
  <si>
    <t>CHANGING THE SEARCH CRITERIA</t>
  </si>
  <si>
    <t>The filters are currently set up so you can apply filters to multiple columns or combinations of columns of the Table.</t>
  </si>
  <si>
    <t>The "OR" filter will retain results that match ANY of the criteria</t>
  </si>
  <si>
    <t>The "AND" filter will retain results that match ALL of the criteria</t>
  </si>
  <si>
    <t>The columns to filter by (e.g. "Title", "Author", "Notes") can be changed by changing the formulas in the hidden columns (M:N)</t>
  </si>
  <si>
    <t>If you want to add a new column for searching, the general format is:</t>
  </si>
  <si>
    <r>
      <t>IF(ISBLANK(</t>
    </r>
    <r>
      <rPr>
        <b/>
        <sz val="12"/>
        <color theme="1"/>
        <rFont val="Calibri"/>
        <family val="2"/>
        <scheme val="minor"/>
      </rPr>
      <t>search_cell</t>
    </r>
    <r>
      <rPr>
        <sz val="12"/>
        <color theme="1"/>
        <rFont val="Calibri"/>
        <family val="2"/>
        <scheme val="minor"/>
      </rPr>
      <t>), FALSE, ISNUMBER(SEARCH(</t>
    </r>
    <r>
      <rPr>
        <b/>
        <sz val="12"/>
        <color theme="1"/>
        <rFont val="Calibri"/>
        <family val="2"/>
        <scheme val="minor"/>
      </rPr>
      <t>search_cell</t>
    </r>
    <r>
      <rPr>
        <sz val="12"/>
        <color theme="1"/>
        <rFont val="Calibri"/>
        <family val="2"/>
        <scheme val="minor"/>
      </rPr>
      <t>,</t>
    </r>
    <r>
      <rPr>
        <sz val="12"/>
        <color theme="1"/>
        <rFont val="Calibri"/>
        <family val="2"/>
        <scheme val="minor"/>
      </rPr>
      <t>[@</t>
    </r>
    <r>
      <rPr>
        <b/>
        <sz val="12"/>
        <color theme="1"/>
        <rFont val="Calibri"/>
        <family val="2"/>
        <scheme val="minor"/>
      </rPr>
      <t>Heading_name</t>
    </r>
    <r>
      <rPr>
        <sz val="12"/>
        <color theme="1"/>
        <rFont val="Calibri"/>
        <family val="2"/>
        <scheme val="minor"/>
      </rPr>
      <t>]))</t>
    </r>
  </si>
  <si>
    <t>For OR:</t>
  </si>
  <si>
    <t>For AND:</t>
  </si>
  <si>
    <r>
      <t>IF(ISBLANK(</t>
    </r>
    <r>
      <rPr>
        <b/>
        <sz val="12"/>
        <color theme="1"/>
        <rFont val="Calibri"/>
        <family val="2"/>
        <scheme val="minor"/>
      </rPr>
      <t>search_cell</t>
    </r>
    <r>
      <rPr>
        <sz val="12"/>
        <color theme="1"/>
        <rFont val="Calibri"/>
        <family val="2"/>
        <scheme val="minor"/>
      </rPr>
      <t>), TRUE, ISNUMBER(SEARCH(</t>
    </r>
    <r>
      <rPr>
        <b/>
        <sz val="12"/>
        <color theme="1"/>
        <rFont val="Calibri"/>
        <family val="2"/>
        <scheme val="minor"/>
      </rPr>
      <t>search_cell</t>
    </r>
    <r>
      <rPr>
        <sz val="12"/>
        <color theme="1"/>
        <rFont val="Calibri"/>
        <family val="2"/>
        <scheme val="minor"/>
      </rPr>
      <t>,</t>
    </r>
    <r>
      <rPr>
        <sz val="12"/>
        <color theme="1"/>
        <rFont val="Calibri"/>
        <family val="2"/>
        <scheme val="minor"/>
      </rPr>
      <t>[@</t>
    </r>
    <r>
      <rPr>
        <b/>
        <sz val="12"/>
        <color theme="1"/>
        <rFont val="Calibri"/>
        <family val="2"/>
        <scheme val="minor"/>
      </rPr>
      <t>Heading_name</t>
    </r>
    <r>
      <rPr>
        <sz val="12"/>
        <color theme="1"/>
        <rFont val="Calibri"/>
        <family val="2"/>
        <scheme val="minor"/>
      </rPr>
      <t>]))</t>
    </r>
  </si>
  <si>
    <t>You need to add this into the outer AND() or OR() functions.</t>
  </si>
  <si>
    <t>NOTE: Do not drag and drop text in the search cells (C3:H4), as this will affect the filter formulae</t>
  </si>
  <si>
    <t>.</t>
  </si>
  <si>
    <t>Logan, Williams, Nisbet, Liberman, Zuo, Guikema</t>
  </si>
  <si>
    <t>Evaluating urban accessibility: leveraging open-source data and analytics to overcome existing limitations</t>
  </si>
  <si>
    <t>Environment and planning B</t>
  </si>
  <si>
    <t>urban accessibility; proximity</t>
  </si>
  <si>
    <t>develop a framework for measuring proximity to urban services</t>
  </si>
  <si>
    <t xml:space="preserve">the method:
- is independent of subjective thresholds
- is at the parcel level
- utilizes open source data and routing algorithms
</t>
  </si>
  <si>
    <t>analysis at aggregated scales (e.g. census blocks) can give significantly different pictures of accessibility --&gt; motivation for using their method</t>
  </si>
  <si>
    <t>Tim and Tom are really cool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</si>
</sst>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3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0"/>
      <color rgb="FF333333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Calibri"/>
      <family val="2"/>
      <scheme val="minor"/>
    </font>
    <font>
      <b/>
      <sz val="11"/>
      <color rgb="FF064361"/>
      <name val="Arial"/>
      <family val="2"/>
    </font>
    <font>
      <b/>
      <sz val="10"/>
      <color rgb="FF064361"/>
      <name val="Arial"/>
      <family val="2"/>
    </font>
    <font>
      <sz val="10"/>
      <color theme="1"/>
      <name val="Arial"/>
      <family val="2"/>
    </font>
    <font>
      <sz val="12"/>
      <color rgb="FF222222"/>
      <name val="NexusSerifWebPro"/>
    </font>
    <font>
      <sz val="10"/>
      <color theme="1"/>
      <name val="Arial"/>
      <family val="2"/>
    </font>
    <font>
      <sz val="9"/>
      <color rgb="FF2E2E2E"/>
      <name val="Arial"/>
      <family val="2"/>
    </font>
    <font>
      <sz val="10"/>
      <color theme="1"/>
      <name val="Arial"/>
      <family val="2"/>
    </font>
    <font>
      <sz val="12"/>
      <color rgb="FF000000"/>
      <name val="Calibri"/>
      <family val="2"/>
    </font>
    <font>
      <b/>
      <sz val="10"/>
      <color rgb="FF1B3051"/>
      <name val="Arial"/>
      <family val="2"/>
    </font>
    <font>
      <sz val="20"/>
      <color theme="1"/>
      <name val="GillSansMT"/>
    </font>
    <font>
      <sz val="14"/>
      <color theme="1"/>
      <name val="Calibri,Bold"/>
    </font>
    <font>
      <b/>
      <sz val="10"/>
      <color theme="1"/>
      <name val="Arial"/>
      <family val="2"/>
    </font>
    <font>
      <sz val="13"/>
      <color theme="1"/>
      <name val="AdvTT5235d5a9"/>
    </font>
    <font>
      <b/>
      <sz val="16"/>
      <color theme="1"/>
      <name val="TimesNewRomanMTStd"/>
    </font>
    <font>
      <sz val="14"/>
      <color theme="1"/>
      <name val="AdvOT863180fb"/>
    </font>
    <font>
      <sz val="10"/>
      <color theme="1"/>
      <name val="Arial"/>
      <family val="2"/>
    </font>
    <font>
      <b/>
      <sz val="7"/>
      <color rgb="FF06436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quotePrefix="1"/>
    <xf numFmtId="0" fontId="3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0" xfId="0" applyFont="1" applyFill="1"/>
    <xf numFmtId="0" fontId="4" fillId="0" borderId="0" xfId="0" applyFont="1"/>
    <xf numFmtId="0" fontId="4" fillId="2" borderId="3" xfId="0" applyFont="1" applyFill="1" applyBorder="1"/>
    <xf numFmtId="0" fontId="4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6" fillId="2" borderId="0" xfId="0" applyFont="1" applyFill="1" applyAlignment="1">
      <alignment wrapText="1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2" borderId="0" xfId="0" applyFont="1" applyFill="1" applyAlignment="1">
      <alignment horizontal="center" wrapText="1"/>
    </xf>
    <xf numFmtId="0" fontId="7" fillId="3" borderId="0" xfId="0" applyFont="1" applyFill="1"/>
    <xf numFmtId="0" fontId="8" fillId="0" borderId="0" xfId="0" applyFont="1"/>
    <xf numFmtId="0" fontId="8" fillId="2" borderId="0" xfId="0" applyFont="1" applyFill="1"/>
    <xf numFmtId="0" fontId="6" fillId="0" borderId="0" xfId="0" applyFont="1" applyAlignment="1">
      <alignment wrapText="1"/>
    </xf>
    <xf numFmtId="0" fontId="0" fillId="0" borderId="4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/>
    </xf>
    <xf numFmtId="0" fontId="4" fillId="2" borderId="0" xfId="0" applyFont="1" applyFill="1" applyAlignment="1">
      <alignment horizontal="left" vertical="top" wrapText="1"/>
    </xf>
    <xf numFmtId="0" fontId="31" fillId="0" borderId="0" xfId="0" applyFont="1" applyAlignment="1">
      <alignment wrapText="1"/>
    </xf>
    <xf numFmtId="14" fontId="31" fillId="0" borderId="0" xfId="0" applyNumberFormat="1" applyFont="1" applyAlignment="1">
      <alignment wrapText="1"/>
    </xf>
    <xf numFmtId="0" fontId="31" fillId="0" borderId="0" xfId="0" applyFont="1" applyAlignment="1">
      <alignment horizontal="left" vertical="center" wrapText="1"/>
    </xf>
    <xf numFmtId="0" fontId="31" fillId="0" borderId="0" xfId="0" applyNumberFormat="1" applyFont="1" applyAlignment="1">
      <alignment wrapText="1"/>
    </xf>
    <xf numFmtId="0" fontId="31" fillId="2" borderId="0" xfId="0" applyFont="1" applyFill="1" applyAlignment="1">
      <alignment wrapText="1"/>
    </xf>
    <xf numFmtId="0" fontId="6" fillId="0" borderId="0" xfId="0" applyFont="1" applyAlignment="1"/>
    <xf numFmtId="14" fontId="6" fillId="0" borderId="0" xfId="0" applyNumberFormat="1" applyFont="1" applyAlignment="1"/>
    <xf numFmtId="0" fontId="6" fillId="2" borderId="0" xfId="0" applyFont="1" applyFill="1" applyAlignment="1"/>
    <xf numFmtId="0" fontId="10" fillId="0" borderId="0" xfId="0" applyFont="1" applyAlignment="1"/>
    <xf numFmtId="0" fontId="11" fillId="0" borderId="0" xfId="1" applyFont="1" applyAlignment="1"/>
    <xf numFmtId="0" fontId="9" fillId="0" borderId="0" xfId="0" applyFont="1" applyAlignment="1"/>
    <xf numFmtId="0" fontId="6" fillId="0" borderId="0" xfId="0" applyNumberFormat="1" applyFont="1" applyAlignment="1"/>
    <xf numFmtId="0" fontId="12" fillId="0" borderId="0" xfId="1" applyFont="1" applyAlignment="1">
      <alignment vertical="center"/>
    </xf>
    <xf numFmtId="0" fontId="13" fillId="0" borderId="0" xfId="0" applyFont="1" applyAlignment="1"/>
    <xf numFmtId="0" fontId="6" fillId="0" borderId="0" xfId="0" quotePrefix="1" applyFont="1" applyAlignment="1"/>
    <xf numFmtId="0" fontId="14" fillId="0" borderId="0" xfId="0" applyFont="1" applyAlignment="1"/>
    <xf numFmtId="0" fontId="15" fillId="0" borderId="0" xfId="0" applyFont="1" applyAlignment="1"/>
    <xf numFmtId="0" fontId="15" fillId="0" borderId="0" xfId="0" applyNumberFormat="1" applyFont="1" applyAlignment="1"/>
    <xf numFmtId="0" fontId="15" fillId="2" borderId="0" xfId="0" applyFont="1" applyFill="1" applyAlignment="1"/>
    <xf numFmtId="0" fontId="2" fillId="0" borderId="0" xfId="1" applyAlignment="1">
      <alignment vertical="center"/>
    </xf>
    <xf numFmtId="14" fontId="15" fillId="0" borderId="0" xfId="0" applyNumberFormat="1" applyFont="1" applyAlignment="1"/>
    <xf numFmtId="0" fontId="16" fillId="0" borderId="0" xfId="0" applyFont="1" applyAlignment="1">
      <alignment vertical="center"/>
    </xf>
    <xf numFmtId="0" fontId="0" fillId="0" borderId="0" xfId="0" applyAlignment="1"/>
    <xf numFmtId="0" fontId="1" fillId="0" borderId="0" xfId="0" applyFont="1" applyAlignment="1"/>
    <xf numFmtId="0" fontId="17" fillId="0" borderId="0" xfId="0" applyFont="1" applyAlignment="1"/>
    <xf numFmtId="14" fontId="17" fillId="0" borderId="0" xfId="0" applyNumberFormat="1" applyFont="1" applyAlignment="1"/>
    <xf numFmtId="0" fontId="17" fillId="0" borderId="0" xfId="0" applyNumberFormat="1" applyFont="1" applyAlignment="1"/>
    <xf numFmtId="0" fontId="17" fillId="2" borderId="0" xfId="0" applyFont="1" applyFill="1" applyAlignment="1"/>
    <xf numFmtId="0" fontId="18" fillId="0" borderId="0" xfId="0" applyFont="1" applyAlignment="1">
      <alignment vertical="center"/>
    </xf>
    <xf numFmtId="0" fontId="19" fillId="0" borderId="0" xfId="0" applyFont="1" applyAlignment="1"/>
    <xf numFmtId="14" fontId="19" fillId="0" borderId="0" xfId="0" applyNumberFormat="1" applyFont="1" applyAlignment="1"/>
    <xf numFmtId="0" fontId="19" fillId="0" borderId="0" xfId="0" applyNumberFormat="1" applyFont="1" applyAlignment="1"/>
    <xf numFmtId="0" fontId="19" fillId="2" borderId="0" xfId="0" applyFont="1" applyFill="1" applyAlignment="1"/>
    <xf numFmtId="0" fontId="21" fillId="0" borderId="0" xfId="0" applyFont="1" applyAlignment="1">
      <alignment vertical="center"/>
    </xf>
    <xf numFmtId="0" fontId="22" fillId="0" borderId="0" xfId="0" applyFont="1" applyAlignment="1"/>
    <xf numFmtId="0" fontId="23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27" fillId="0" borderId="0" xfId="0" applyFont="1" applyAlignment="1"/>
    <xf numFmtId="0" fontId="26" fillId="0" borderId="0" xfId="0" applyFont="1" applyAlignment="1"/>
    <xf numFmtId="0" fontId="28" fillId="0" borderId="0" xfId="0" applyFont="1" applyAlignment="1"/>
    <xf numFmtId="164" fontId="6" fillId="0" borderId="0" xfId="0" applyNumberFormat="1" applyFont="1" applyAlignment="1"/>
    <xf numFmtId="0" fontId="28" fillId="0" borderId="0" xfId="0" applyNumberFormat="1" applyFont="1" applyAlignment="1"/>
    <xf numFmtId="0" fontId="28" fillId="2" borderId="0" xfId="0" applyFont="1" applyFill="1" applyAlignment="1"/>
    <xf numFmtId="0" fontId="29" fillId="0" borderId="0" xfId="0" applyFont="1" applyAlignment="1"/>
    <xf numFmtId="0" fontId="30" fillId="0" borderId="0" xfId="0" applyFont="1" applyAlignment="1"/>
    <xf numFmtId="0" fontId="30" fillId="0" borderId="0" xfId="0" applyNumberFormat="1" applyFont="1" applyAlignment="1"/>
    <xf numFmtId="0" fontId="30" fillId="2" borderId="0" xfId="0" applyFont="1" applyFill="1" applyAlignment="1"/>
    <xf numFmtId="0" fontId="0" fillId="0" borderId="0" xfId="0" applyFont="1" applyAlignment="1">
      <alignment horizontal="left" vertical="center"/>
    </xf>
    <xf numFmtId="164" fontId="30" fillId="0" borderId="0" xfId="0" applyNumberFormat="1" applyFont="1" applyAlignment="1"/>
    <xf numFmtId="164" fontId="31" fillId="0" borderId="0" xfId="0" applyNumberFormat="1" applyFont="1" applyAlignment="1">
      <alignment wrapText="1"/>
    </xf>
  </cellXfs>
  <cellStyles count="2">
    <cellStyle name="Hyperlink" xfId="1" builtinId="8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m/d/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27214</xdr:colOff>
          <xdr:row>2</xdr:row>
          <xdr:rowOff>10886</xdr:rowOff>
        </xdr:from>
        <xdr:to>
          <xdr:col>8</xdr:col>
          <xdr:colOff>990600</xdr:colOff>
          <xdr:row>2</xdr:row>
          <xdr:rowOff>239486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27214</xdr:colOff>
          <xdr:row>3</xdr:row>
          <xdr:rowOff>10886</xdr:rowOff>
        </xdr:from>
        <xdr:to>
          <xdr:col>8</xdr:col>
          <xdr:colOff>990600</xdr:colOff>
          <xdr:row>3</xdr:row>
          <xdr:rowOff>239486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2</xdr:row>
          <xdr:rowOff>0</xdr:rowOff>
        </xdr:from>
        <xdr:to>
          <xdr:col>8</xdr:col>
          <xdr:colOff>2122714</xdr:colOff>
          <xdr:row>3</xdr:row>
          <xdr:rowOff>228600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ading" displayName="Reading" ref="A6:O23" totalsRowShown="0" headerRowDxfId="16" dataDxfId="0">
  <tableColumns count="15">
    <tableColumn id="1" xr3:uid="{00000000-0010-0000-0000-000001000000}" name="Author" dataDxfId="15"/>
    <tableColumn id="2" xr3:uid="{00000000-0010-0000-0000-000002000000}" name="Title" dataDxfId="14"/>
    <tableColumn id="3" xr3:uid="{00000000-0010-0000-0000-000003000000}" name="Year" dataDxfId="13"/>
    <tableColumn id="4" xr3:uid="{00000000-0010-0000-0000-000004000000}" name="Date read" dataDxfId="12"/>
    <tableColumn id="5" xr3:uid="{00000000-0010-0000-0000-000005000000}" name="Journal" dataDxfId="11"/>
    <tableColumn id="6" xr3:uid="{00000000-0010-0000-0000-000006000000}" name="Keywords" dataDxfId="10"/>
    <tableColumn id="7" xr3:uid="{00000000-0010-0000-0000-000007000000}" name="Location" dataDxfId="9"/>
    <tableColumn id="8" xr3:uid="{00000000-0010-0000-0000-000008000000}" name="Main ideas" dataDxfId="8"/>
    <tableColumn id="9" xr3:uid="{00000000-0010-0000-0000-000009000000}" name="Methods" dataDxfId="7"/>
    <tableColumn id="10" xr3:uid="{00000000-0010-0000-0000-00000A000000}" name="Results" dataDxfId="6"/>
    <tableColumn id="11" xr3:uid="{00000000-0010-0000-0000-00000B000000}" name="Other notes" dataDxfId="5"/>
    <tableColumn id="12" xr3:uid="{00000000-0010-0000-0000-00000C000000}" name="My thoughts" dataDxfId="4"/>
    <tableColumn id="13" xr3:uid="{00000000-0010-0000-0000-00000D000000}" name="OR" dataDxfId="3">
      <calculatedColumnFormula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calculatedColumnFormula>
    </tableColumn>
    <tableColumn id="14" xr3:uid="{00000000-0010-0000-0000-00000E000000}" name="AND" dataDxfId="2">
      <calculatedColumnFormula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calculatedColumnFormula>
    </tableColumn>
    <tableColumn id="15" xr3:uid="{00000000-0010-0000-0000-00000F000000}" name=".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44"/>
  <sheetViews>
    <sheetView tabSelected="1" workbookViewId="0">
      <selection activeCell="A45" sqref="A45"/>
    </sheetView>
  </sheetViews>
  <sheetFormatPr defaultColWidth="8.85546875" defaultRowHeight="15.9"/>
  <sheetData>
    <row r="1" spans="1:3">
      <c r="A1" t="s">
        <v>18</v>
      </c>
    </row>
    <row r="2" spans="1:3">
      <c r="A2" t="s">
        <v>19</v>
      </c>
    </row>
    <row r="4" spans="1:3">
      <c r="A4" t="s">
        <v>20</v>
      </c>
    </row>
    <row r="5" spans="1:3">
      <c r="A5" t="s">
        <v>21</v>
      </c>
    </row>
    <row r="6" spans="1:3">
      <c r="A6" t="s">
        <v>22</v>
      </c>
    </row>
    <row r="7" spans="1:3">
      <c r="A7" t="s">
        <v>23</v>
      </c>
    </row>
    <row r="8" spans="1:3">
      <c r="B8" t="s">
        <v>24</v>
      </c>
    </row>
    <row r="9" spans="1:3">
      <c r="B9" t="s">
        <v>25</v>
      </c>
    </row>
    <row r="10" spans="1:3">
      <c r="B10" t="s">
        <v>26</v>
      </c>
    </row>
    <row r="12" spans="1:3">
      <c r="A12" t="s">
        <v>27</v>
      </c>
    </row>
    <row r="13" spans="1:3">
      <c r="B13" t="s">
        <v>28</v>
      </c>
    </row>
    <row r="14" spans="1:3">
      <c r="B14" t="s">
        <v>29</v>
      </c>
    </row>
    <row r="15" spans="1:3">
      <c r="C15" t="s">
        <v>30</v>
      </c>
    </row>
    <row r="16" spans="1:3">
      <c r="B16" t="s">
        <v>31</v>
      </c>
    </row>
    <row r="18" spans="1:3">
      <c r="A18" t="s">
        <v>32</v>
      </c>
    </row>
    <row r="19" spans="1:3">
      <c r="B19" t="s">
        <v>33</v>
      </c>
    </row>
    <row r="20" spans="1:3">
      <c r="C20" t="s">
        <v>44</v>
      </c>
    </row>
    <row r="21" spans="1:3">
      <c r="B21" t="s">
        <v>45</v>
      </c>
    </row>
    <row r="22" spans="1:3">
      <c r="B22" t="s">
        <v>34</v>
      </c>
    </row>
    <row r="23" spans="1:3">
      <c r="B23" t="s">
        <v>35</v>
      </c>
    </row>
    <row r="25" spans="1:3">
      <c r="A25" t="s">
        <v>36</v>
      </c>
    </row>
    <row r="26" spans="1:3">
      <c r="B26" t="s">
        <v>37</v>
      </c>
    </row>
    <row r="27" spans="1:3">
      <c r="B27" t="s">
        <v>38</v>
      </c>
    </row>
    <row r="28" spans="1:3">
      <c r="C28" t="s">
        <v>39</v>
      </c>
    </row>
    <row r="29" spans="1:3">
      <c r="B29" t="s">
        <v>40</v>
      </c>
    </row>
    <row r="30" spans="1:3">
      <c r="B30" t="s">
        <v>41</v>
      </c>
    </row>
    <row r="31" spans="1:3">
      <c r="B31" t="s">
        <v>42</v>
      </c>
    </row>
    <row r="32" spans="1:3">
      <c r="B32" t="s">
        <v>43</v>
      </c>
    </row>
    <row r="35" spans="1:3" s="2" customFormat="1">
      <c r="A35" s="2" t="s">
        <v>46</v>
      </c>
    </row>
    <row r="36" spans="1:3">
      <c r="A36" t="s">
        <v>47</v>
      </c>
    </row>
    <row r="37" spans="1:3">
      <c r="A37" s="1" t="s">
        <v>48</v>
      </c>
    </row>
    <row r="38" spans="1:3">
      <c r="A38" t="s">
        <v>49</v>
      </c>
    </row>
    <row r="40" spans="1:3">
      <c r="A40" t="s">
        <v>50</v>
      </c>
    </row>
    <row r="41" spans="1:3">
      <c r="A41" t="s">
        <v>51</v>
      </c>
    </row>
    <row r="42" spans="1:3">
      <c r="B42" t="s">
        <v>53</v>
      </c>
      <c r="C42" t="s">
        <v>52</v>
      </c>
    </row>
    <row r="43" spans="1:3">
      <c r="B43" t="s">
        <v>54</v>
      </c>
      <c r="C43" t="s">
        <v>55</v>
      </c>
    </row>
    <row r="44" spans="1:3">
      <c r="A44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390"/>
  <sheetViews>
    <sheetView workbookViewId="0">
      <pane ySplit="6" topLeftCell="A7" activePane="bottomLeft" state="frozen"/>
      <selection pane="bottomLeft" activeCell="H15" sqref="H15"/>
    </sheetView>
  </sheetViews>
  <sheetFormatPr defaultColWidth="11" defaultRowHeight="12.55" customHeight="1"/>
  <cols>
    <col min="1" max="1" width="11.35546875" style="32" customWidth="1"/>
    <col min="2" max="2" width="27.85546875" style="32" customWidth="1"/>
    <col min="3" max="3" width="8" style="32" customWidth="1"/>
    <col min="4" max="4" width="12" style="32" customWidth="1"/>
    <col min="5" max="5" width="13.640625" style="32" customWidth="1"/>
    <col min="6" max="6" width="15" style="32" customWidth="1"/>
    <col min="7" max="7" width="12" style="32" customWidth="1"/>
    <col min="8" max="11" width="28.35546875" style="32" customWidth="1"/>
    <col min="12" max="12" width="23.35546875" style="32" customWidth="1"/>
    <col min="13" max="14" width="11" style="32" hidden="1" customWidth="1"/>
    <col min="15" max="15" width="3.35546875" style="34" customWidth="1"/>
    <col min="16" max="26" width="11" style="34"/>
    <col min="27" max="16384" width="11" style="32"/>
  </cols>
  <sheetData>
    <row r="1" spans="1:26" s="6" customFormat="1" ht="15.9">
      <c r="A1" s="3"/>
      <c r="B1" s="4"/>
      <c r="C1" s="25" t="s">
        <v>16</v>
      </c>
      <c r="D1" s="25"/>
      <c r="E1" s="25"/>
      <c r="F1" s="25"/>
      <c r="G1" s="25"/>
      <c r="H1" s="2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s="6" customFormat="1" ht="15.9">
      <c r="A2" s="7"/>
      <c r="B2" s="8"/>
      <c r="C2" s="9" t="s">
        <v>0</v>
      </c>
      <c r="D2" s="9" t="s">
        <v>1</v>
      </c>
      <c r="E2" s="9" t="s">
        <v>4</v>
      </c>
      <c r="F2" s="9" t="s">
        <v>5</v>
      </c>
      <c r="G2" s="9" t="s">
        <v>17</v>
      </c>
      <c r="H2" s="9" t="s">
        <v>15</v>
      </c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s="6" customFormat="1" ht="20.05" customHeight="1">
      <c r="A3" s="24"/>
      <c r="B3" s="10" t="s">
        <v>13</v>
      </c>
      <c r="C3" s="19"/>
      <c r="D3" s="20"/>
      <c r="E3" s="20"/>
      <c r="F3" s="20"/>
      <c r="G3" s="20"/>
      <c r="H3" s="21"/>
      <c r="I3" s="5"/>
      <c r="J3" s="26" t="s">
        <v>57</v>
      </c>
      <c r="K3" s="26"/>
      <c r="L3" s="11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s="6" customFormat="1" ht="20.05" customHeight="1">
      <c r="A4" s="24"/>
      <c r="B4" s="10" t="s">
        <v>14</v>
      </c>
      <c r="C4" s="12"/>
      <c r="D4" s="13"/>
      <c r="E4" s="13"/>
      <c r="F4" s="22"/>
      <c r="G4" s="22"/>
      <c r="H4" s="23"/>
      <c r="I4" s="5"/>
      <c r="J4" s="26"/>
      <c r="K4" s="26"/>
      <c r="L4" s="1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s="6" customFormat="1" ht="9" customHeight="1">
      <c r="A5" s="1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s="6" customFormat="1" ht="21" customHeight="1">
      <c r="A6" s="15" t="s">
        <v>0</v>
      </c>
      <c r="B6" s="15" t="s">
        <v>1</v>
      </c>
      <c r="C6" s="15" t="s">
        <v>2</v>
      </c>
      <c r="D6" s="15" t="s">
        <v>3</v>
      </c>
      <c r="E6" s="15" t="s">
        <v>4</v>
      </c>
      <c r="F6" s="15" t="s">
        <v>5</v>
      </c>
      <c r="G6" s="15" t="s">
        <v>6</v>
      </c>
      <c r="H6" s="15" t="s">
        <v>7</v>
      </c>
      <c r="I6" s="15" t="s">
        <v>8</v>
      </c>
      <c r="J6" s="15" t="s">
        <v>9</v>
      </c>
      <c r="K6" s="15" t="s">
        <v>10</v>
      </c>
      <c r="L6" s="15" t="s">
        <v>11</v>
      </c>
      <c r="M6" s="16" t="s">
        <v>13</v>
      </c>
      <c r="N6" s="16" t="s">
        <v>14</v>
      </c>
      <c r="O6" s="17" t="s">
        <v>58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s="27" customFormat="1" ht="87">
      <c r="A7" s="27" t="s">
        <v>59</v>
      </c>
      <c r="B7" s="27" t="s">
        <v>60</v>
      </c>
      <c r="C7" s="27">
        <v>2017</v>
      </c>
      <c r="D7" s="28">
        <v>42746</v>
      </c>
      <c r="E7" s="27" t="s">
        <v>61</v>
      </c>
      <c r="F7" s="27" t="s">
        <v>62</v>
      </c>
      <c r="G7" s="27" t="s">
        <v>12</v>
      </c>
      <c r="H7" s="27" t="s">
        <v>63</v>
      </c>
      <c r="I7" s="29" t="s">
        <v>64</v>
      </c>
      <c r="J7" s="27" t="s">
        <v>65</v>
      </c>
      <c r="K7" s="27" t="s">
        <v>66</v>
      </c>
      <c r="M7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7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spans="1:26" s="27" customFormat="1" ht="12.45" customHeight="1">
      <c r="D8" s="28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spans="1:26" s="27" customFormat="1" ht="12.45">
      <c r="D9" s="28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spans="1:26" s="27" customFormat="1" ht="12.45">
      <c r="D10" s="28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spans="1:26" s="27" customFormat="1" ht="12.55" customHeight="1">
      <c r="D11" s="77"/>
      <c r="M11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1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spans="1:26" s="27" customFormat="1" ht="12.55" customHeight="1">
      <c r="D12" s="77"/>
      <c r="M12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2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spans="1:26" s="18" customFormat="1" ht="12.55" customHeight="1">
      <c r="A13" s="27"/>
      <c r="B13" s="27"/>
      <c r="C13" s="27"/>
      <c r="D13" s="77"/>
      <c r="E13" s="27"/>
      <c r="F13" s="27"/>
      <c r="G13" s="27"/>
      <c r="H13" s="27"/>
      <c r="I13" s="27"/>
      <c r="J13" s="27"/>
      <c r="K13" s="27"/>
      <c r="L13" s="27"/>
      <c r="M13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3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3" s="3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s="18" customFormat="1" ht="12.55" customHeight="1">
      <c r="A14" s="27"/>
      <c r="B14" s="27"/>
      <c r="C14" s="27"/>
      <c r="D14" s="77"/>
      <c r="E14" s="27"/>
      <c r="F14" s="27"/>
      <c r="G14" s="27"/>
      <c r="H14" s="27"/>
      <c r="I14" s="27"/>
      <c r="J14" s="27"/>
      <c r="K14" s="27"/>
      <c r="L14" s="27"/>
      <c r="M14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4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4" s="3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s="18" customFormat="1" ht="12.55" customHeight="1">
      <c r="A15" s="27"/>
      <c r="B15" s="27"/>
      <c r="C15" s="27"/>
      <c r="D15" s="77"/>
      <c r="E15" s="27"/>
      <c r="F15" s="27"/>
      <c r="G15" s="27"/>
      <c r="H15" s="27"/>
      <c r="I15" s="27"/>
      <c r="J15" s="27"/>
      <c r="K15" s="27"/>
      <c r="L15" s="27"/>
      <c r="M15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5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5" s="3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12.55" customHeight="1">
      <c r="A16" s="27"/>
      <c r="B16" s="27"/>
      <c r="C16" s="27"/>
      <c r="D16" s="77"/>
      <c r="E16" s="27"/>
      <c r="F16" s="27"/>
      <c r="G16" s="27"/>
      <c r="H16" s="27"/>
      <c r="I16" s="27"/>
      <c r="J16" s="27"/>
      <c r="K16" s="27"/>
      <c r="L16" s="27"/>
      <c r="M16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6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6" s="31"/>
    </row>
    <row r="17" spans="1:15" ht="12.55" customHeight="1">
      <c r="A17" s="27"/>
      <c r="B17" s="27"/>
      <c r="C17" s="27"/>
      <c r="D17" s="77"/>
      <c r="E17" s="27"/>
      <c r="F17" s="27"/>
      <c r="G17" s="27"/>
      <c r="H17" s="27"/>
      <c r="I17" s="27"/>
      <c r="J17" s="27"/>
      <c r="K17" s="27"/>
      <c r="L17" s="27"/>
      <c r="M17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7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7" s="31"/>
    </row>
    <row r="18" spans="1:15" ht="12.55" customHeight="1">
      <c r="A18" s="27"/>
      <c r="B18" s="27"/>
      <c r="C18" s="27"/>
      <c r="D18" s="77"/>
      <c r="E18" s="27"/>
      <c r="F18" s="27"/>
      <c r="G18" s="27"/>
      <c r="H18" s="27"/>
      <c r="I18" s="27"/>
      <c r="J18" s="27"/>
      <c r="K18" s="27"/>
      <c r="L18" s="27"/>
      <c r="M18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8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8" s="31"/>
    </row>
    <row r="19" spans="1:15" ht="12.55" customHeight="1">
      <c r="A19" s="27"/>
      <c r="B19" s="27"/>
      <c r="C19" s="27"/>
      <c r="D19" s="77"/>
      <c r="E19" s="27"/>
      <c r="F19" s="27"/>
      <c r="G19" s="27"/>
      <c r="H19" s="27"/>
      <c r="I19" s="27"/>
      <c r="J19" s="27"/>
      <c r="K19" s="27"/>
      <c r="L19" s="27"/>
      <c r="M19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19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19" s="31"/>
    </row>
    <row r="20" spans="1:15" ht="12.55" customHeight="1">
      <c r="A20" s="27"/>
      <c r="B20" s="27"/>
      <c r="C20" s="27"/>
      <c r="D20" s="77"/>
      <c r="E20" s="27"/>
      <c r="F20" s="27"/>
      <c r="G20" s="27"/>
      <c r="H20" s="27"/>
      <c r="I20" s="27"/>
      <c r="J20" s="27"/>
      <c r="K20" s="27"/>
      <c r="L20" s="27"/>
      <c r="M20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20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20" s="31"/>
    </row>
    <row r="21" spans="1:15" ht="12.55" customHeight="1">
      <c r="A21" s="27"/>
      <c r="B21" s="27"/>
      <c r="C21" s="27"/>
      <c r="D21" s="77"/>
      <c r="E21" s="27"/>
      <c r="F21" s="27"/>
      <c r="G21" s="27"/>
      <c r="H21" s="27"/>
      <c r="I21" s="27"/>
      <c r="J21" s="27"/>
      <c r="K21" s="27"/>
      <c r="L21" s="27"/>
      <c r="M21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21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21" s="31"/>
    </row>
    <row r="22" spans="1:15" ht="12.55" customHeight="1">
      <c r="A22" s="27"/>
      <c r="B22" s="27"/>
      <c r="C22" s="27"/>
      <c r="D22" s="77"/>
      <c r="E22" s="27"/>
      <c r="F22" s="27"/>
      <c r="G22" s="27"/>
      <c r="H22" s="27"/>
      <c r="I22" s="27"/>
      <c r="J22" s="27"/>
      <c r="K22" s="27"/>
      <c r="L22" s="27"/>
      <c r="M22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22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22" s="31"/>
    </row>
    <row r="23" spans="1:15" ht="12.55" customHeight="1">
      <c r="A23" s="27"/>
      <c r="B23" s="27"/>
      <c r="C23" s="27"/>
      <c r="D23" s="77"/>
      <c r="E23" s="27"/>
      <c r="F23" s="27"/>
      <c r="G23" s="27"/>
      <c r="H23" s="27"/>
      <c r="I23" s="27"/>
      <c r="J23" s="27"/>
      <c r="K23" s="27"/>
      <c r="L23" s="27"/>
      <c r="M23" s="30" t="b">
        <f>OR(IF(ISBLANK($D$3), FALSE, ISNUMBER(SEARCH($D$3,Reading[[#This Row],[Title]]))),IF(ISBLANK($F$3), FALSE, ISNUMBER(SEARCH($F$3,Reading[[#This Row],[Keywords]]))), IF(ISBLANK($E$3), FALSE, ISNUMBER(SEARCH($E$3, Reading[[#This Row],[Journal]]))), IF(ISBLANK($G$3), FALSE, ISNUMBER(SEARCH($G$3, _xlfn.CONCAT(Reading[[#This Row],[Main ideas]:[My thoughts]])))), IF(ISBLANK($H$3), FALSE, ISNUMBER(SEARCH($H$3, _xlfn.CONCAT(Reading[[#This Row],[Author]:[My thoughts]])))), IF(ISBLANK($C$3), FALSE, ISNUMBER(SEARCH($C$3, Reading[[#This Row],[Author]]))), IF(COUNTBLANK($C$3:$H$3)=6, TRUE, FALSE))</f>
        <v>1</v>
      </c>
      <c r="N23" s="30" t="b">
        <f>AND(IF(ISBLANK($D$4), TRUE, ISNUMBER(SEARCH($D$4,Reading[[#This Row],[Title]]))), IF(ISBLANK($F$4), TRUE, ISNUMBER(SEARCH($F$4,Reading[[#This Row],[Keywords]]))), IF(ISBLANK($E$4), TRUE, ISNUMBER(SEARCH($E$4, Reading[[#This Row],[Title]]))), IF(ISBLANK($G$4), TRUE, ISNUMBER(SEARCH($G$4, _xlfn.CONCAT(Reading[[#This Row],[Main ideas]:[My thoughts]])))), IF(ISBLANK($H$4), TRUE, ISNUMBER(SEARCH($H$4, _xlfn.CONCAT(Reading[[#This Row],[Author]:[My thoughts]])))), IF(ISBLANK($C$4), TRUE,ISNUMBER(SEARCH($C$4, Reading[[#This Row],[Author]]))))</f>
        <v>1</v>
      </c>
      <c r="O23" s="31"/>
    </row>
    <row r="24" spans="1:15" ht="12.55" customHeight="1">
      <c r="A24" s="35"/>
      <c r="B24" s="35"/>
      <c r="D24" s="33"/>
      <c r="E24" s="35"/>
      <c r="F24" s="35"/>
      <c r="G24" s="35"/>
      <c r="H24" s="35"/>
      <c r="I24" s="35"/>
      <c r="J24" s="35"/>
      <c r="K24" s="35"/>
    </row>
    <row r="25" spans="1:15" ht="12.55" customHeight="1">
      <c r="D25" s="33"/>
    </row>
    <row r="26" spans="1:15" ht="12.55" customHeight="1">
      <c r="D26" s="33"/>
    </row>
    <row r="27" spans="1:15" ht="12.55" customHeight="1">
      <c r="B27" s="36"/>
      <c r="D27" s="33"/>
    </row>
    <row r="28" spans="1:15" ht="12.55" customHeight="1">
      <c r="D28" s="33"/>
      <c r="J28" s="35"/>
    </row>
    <row r="29" spans="1:15" ht="12.55" customHeight="1">
      <c r="D29" s="33"/>
    </row>
    <row r="30" spans="1:15" ht="12.55" customHeight="1">
      <c r="D30" s="33"/>
    </row>
    <row r="31" spans="1:15" ht="12.55" customHeight="1">
      <c r="D31" s="33"/>
    </row>
    <row r="32" spans="1:15" ht="12.55" customHeight="1">
      <c r="D32" s="33"/>
    </row>
    <row r="33" spans="4:4" ht="12.55" customHeight="1">
      <c r="D33" s="33"/>
    </row>
    <row r="34" spans="4:4" ht="12.55" customHeight="1">
      <c r="D34" s="33"/>
    </row>
    <row r="35" spans="4:4" ht="12.55" customHeight="1">
      <c r="D35" s="33"/>
    </row>
    <row r="36" spans="4:4" ht="12.55" customHeight="1">
      <c r="D36" s="33"/>
    </row>
    <row r="37" spans="4:4" ht="12.55" customHeight="1">
      <c r="D37" s="33"/>
    </row>
    <row r="38" spans="4:4" ht="12.55" customHeight="1">
      <c r="D38" s="33"/>
    </row>
    <row r="39" spans="4:4" ht="12.55" customHeight="1">
      <c r="D39" s="33"/>
    </row>
    <row r="40" spans="4:4" ht="12.55" customHeight="1">
      <c r="D40" s="33"/>
    </row>
    <row r="41" spans="4:4" ht="12.55" customHeight="1">
      <c r="D41" s="33"/>
    </row>
    <row r="42" spans="4:4" ht="12.55" customHeight="1">
      <c r="D42" s="33"/>
    </row>
    <row r="43" spans="4:4" ht="12.55" customHeight="1">
      <c r="D43" s="33"/>
    </row>
    <row r="44" spans="4:4" ht="12.55" customHeight="1">
      <c r="D44" s="33"/>
    </row>
    <row r="45" spans="4:4" ht="12.55" customHeight="1">
      <c r="D45" s="33"/>
    </row>
    <row r="46" spans="4:4" ht="12.55" customHeight="1">
      <c r="D46" s="33"/>
    </row>
    <row r="47" spans="4:4" ht="12.55" customHeight="1">
      <c r="D47" s="33"/>
    </row>
    <row r="48" spans="4:4" ht="12.55" customHeight="1">
      <c r="D48" s="33"/>
    </row>
    <row r="49" spans="2:4" ht="12.55" customHeight="1">
      <c r="D49" s="33"/>
    </row>
    <row r="50" spans="2:4" ht="12.55" customHeight="1">
      <c r="B50" s="37"/>
      <c r="D50" s="33"/>
    </row>
    <row r="51" spans="2:4" ht="12.55" customHeight="1">
      <c r="D51" s="33"/>
    </row>
    <row r="52" spans="2:4" ht="12.55" customHeight="1">
      <c r="D52" s="33"/>
    </row>
    <row r="53" spans="2:4" ht="12.55" customHeight="1">
      <c r="D53" s="33"/>
    </row>
    <row r="54" spans="2:4" ht="12.55" customHeight="1">
      <c r="D54" s="33"/>
    </row>
    <row r="55" spans="2:4" ht="12.55" customHeight="1">
      <c r="D55" s="33"/>
    </row>
    <row r="56" spans="2:4" ht="12.55" customHeight="1">
      <c r="D56" s="33"/>
    </row>
    <row r="57" spans="2:4" ht="12.55" customHeight="1">
      <c r="D57" s="33"/>
    </row>
    <row r="58" spans="2:4" ht="12.55" customHeight="1">
      <c r="D58" s="33"/>
    </row>
    <row r="59" spans="2:4" ht="12.55" customHeight="1">
      <c r="D59" s="33"/>
    </row>
    <row r="60" spans="2:4" ht="12.55" customHeight="1">
      <c r="D60" s="33"/>
    </row>
    <row r="61" spans="2:4" ht="12.55" customHeight="1">
      <c r="D61" s="33"/>
    </row>
    <row r="62" spans="2:4" ht="12.55" customHeight="1">
      <c r="D62" s="33"/>
    </row>
    <row r="63" spans="2:4" ht="12.55" customHeight="1">
      <c r="D63" s="33"/>
    </row>
    <row r="64" spans="2:4" ht="12.55" customHeight="1">
      <c r="D64" s="33"/>
    </row>
    <row r="65" spans="1:11" ht="12.55" customHeight="1">
      <c r="D65" s="33"/>
    </row>
    <row r="66" spans="1:11" ht="12.55" customHeight="1">
      <c r="D66" s="33"/>
    </row>
    <row r="67" spans="1:11" ht="12.55" customHeight="1">
      <c r="D67" s="33"/>
    </row>
    <row r="68" spans="1:11" ht="12.55" customHeight="1">
      <c r="D68" s="33"/>
    </row>
    <row r="69" spans="1:11" ht="12.55" customHeight="1">
      <c r="D69" s="33"/>
    </row>
    <row r="70" spans="1:11" ht="12.55" customHeight="1">
      <c r="D70" s="33"/>
      <c r="E70" s="33"/>
      <c r="K70" s="35"/>
    </row>
    <row r="71" spans="1:11" ht="12.55" customHeight="1">
      <c r="D71" s="33"/>
      <c r="E71" s="33"/>
    </row>
    <row r="72" spans="1:11" ht="12.55" customHeight="1">
      <c r="D72" s="33"/>
    </row>
    <row r="73" spans="1:11" ht="12.55" customHeight="1">
      <c r="D73" s="33"/>
    </row>
    <row r="74" spans="1:11" ht="12.55" customHeight="1">
      <c r="D74" s="33"/>
    </row>
    <row r="75" spans="1:11" ht="12.55" customHeight="1">
      <c r="A75" s="35"/>
      <c r="B75" s="35"/>
      <c r="C75" s="35"/>
      <c r="D75" s="33"/>
      <c r="E75" s="35"/>
      <c r="F75" s="35"/>
      <c r="G75" s="35"/>
      <c r="H75" s="35"/>
      <c r="I75" s="35"/>
      <c r="J75" s="35"/>
      <c r="K75" s="35"/>
    </row>
    <row r="76" spans="1:11" ht="12.55" customHeight="1">
      <c r="A76" s="35"/>
      <c r="B76" s="35"/>
      <c r="C76" s="35"/>
      <c r="D76" s="33"/>
      <c r="E76" s="35"/>
      <c r="H76" s="35"/>
    </row>
    <row r="77" spans="1:11" ht="12.55" customHeight="1">
      <c r="D77" s="33"/>
    </row>
    <row r="78" spans="1:11" ht="12.55" customHeight="1">
      <c r="D78" s="33"/>
    </row>
    <row r="79" spans="1:11" ht="12.55" customHeight="1">
      <c r="D79" s="33"/>
    </row>
    <row r="80" spans="1:11" ht="12.55" customHeight="1">
      <c r="D80" s="33"/>
    </row>
    <row r="81" spans="2:4" ht="12.55" customHeight="1">
      <c r="D81" s="33"/>
    </row>
    <row r="82" spans="2:4" ht="12.55" customHeight="1">
      <c r="D82" s="33"/>
    </row>
    <row r="83" spans="2:4" ht="12.55" customHeight="1">
      <c r="D83" s="33"/>
    </row>
    <row r="84" spans="2:4" ht="12.55" customHeight="1">
      <c r="B84" s="36"/>
      <c r="D84" s="33"/>
    </row>
    <row r="85" spans="2:4" ht="12.55" customHeight="1">
      <c r="D85" s="33"/>
    </row>
    <row r="86" spans="2:4" ht="12.55" customHeight="1">
      <c r="D86" s="33"/>
    </row>
    <row r="87" spans="2:4" ht="12.55" customHeight="1">
      <c r="D87" s="33"/>
    </row>
    <row r="88" spans="2:4" ht="12.55" customHeight="1">
      <c r="D88" s="33"/>
    </row>
    <row r="89" spans="2:4" ht="12.55" customHeight="1">
      <c r="D89" s="33"/>
    </row>
    <row r="90" spans="2:4" ht="12.55" customHeight="1">
      <c r="D90" s="33"/>
    </row>
    <row r="91" spans="2:4" ht="12.55" customHeight="1">
      <c r="D91" s="33"/>
    </row>
    <row r="92" spans="2:4" ht="12.55" customHeight="1">
      <c r="D92" s="33"/>
    </row>
    <row r="93" spans="2:4" ht="12.55" customHeight="1">
      <c r="D93" s="33"/>
    </row>
    <row r="94" spans="2:4" ht="12.55" customHeight="1">
      <c r="D94" s="33"/>
    </row>
    <row r="95" spans="2:4" ht="12.55" customHeight="1">
      <c r="B95" s="35"/>
      <c r="D95" s="33"/>
    </row>
    <row r="96" spans="2:4" ht="12.55" customHeight="1">
      <c r="D96" s="33"/>
    </row>
    <row r="97" spans="2:4" ht="12.55" customHeight="1">
      <c r="D97" s="33"/>
    </row>
    <row r="98" spans="2:4" ht="12.55" customHeight="1">
      <c r="D98" s="33"/>
    </row>
    <row r="99" spans="2:4" ht="12.55" customHeight="1">
      <c r="D99" s="33"/>
    </row>
    <row r="100" spans="2:4" ht="12.55" customHeight="1">
      <c r="D100" s="33"/>
    </row>
    <row r="101" spans="2:4" ht="12.55" customHeight="1">
      <c r="D101" s="33"/>
    </row>
    <row r="102" spans="2:4" ht="12.55" customHeight="1">
      <c r="B102" s="37"/>
      <c r="D102" s="33"/>
    </row>
    <row r="103" spans="2:4" ht="12.55" customHeight="1">
      <c r="D103" s="33"/>
    </row>
    <row r="104" spans="2:4" ht="12.55" customHeight="1">
      <c r="D104" s="33"/>
    </row>
    <row r="105" spans="2:4" ht="12.55" customHeight="1">
      <c r="D105" s="33"/>
    </row>
    <row r="106" spans="2:4" ht="12.55" customHeight="1">
      <c r="D106" s="33"/>
    </row>
    <row r="107" spans="2:4" ht="12.55" customHeight="1">
      <c r="D107" s="33"/>
    </row>
    <row r="108" spans="2:4" ht="12.55" customHeight="1">
      <c r="D108" s="33"/>
    </row>
    <row r="109" spans="2:4" ht="12.55" customHeight="1">
      <c r="D109" s="33"/>
    </row>
    <row r="110" spans="2:4" ht="12.55" customHeight="1">
      <c r="B110" s="37"/>
      <c r="D110" s="33"/>
    </row>
    <row r="111" spans="2:4" ht="12.55" customHeight="1">
      <c r="D111" s="33"/>
    </row>
    <row r="112" spans="2:4" ht="12.55" customHeight="1">
      <c r="D112" s="33"/>
    </row>
    <row r="113" spans="2:14" ht="12.55" customHeight="1">
      <c r="D113" s="33"/>
    </row>
    <row r="114" spans="2:14" ht="12.55" customHeight="1">
      <c r="D114" s="33"/>
      <c r="M114" s="38"/>
      <c r="N114" s="38"/>
    </row>
    <row r="115" spans="2:14" ht="12.55" customHeight="1">
      <c r="D115" s="33"/>
      <c r="M115" s="38"/>
      <c r="N115" s="38"/>
    </row>
    <row r="116" spans="2:14" ht="12.55" customHeight="1">
      <c r="D116" s="33"/>
      <c r="M116" s="38"/>
      <c r="N116" s="38"/>
    </row>
    <row r="117" spans="2:14" ht="12.55" customHeight="1">
      <c r="B117" s="39"/>
      <c r="D117" s="33"/>
      <c r="M117" s="38"/>
      <c r="N117" s="38"/>
    </row>
    <row r="118" spans="2:14" ht="12.55" customHeight="1">
      <c r="D118" s="33"/>
      <c r="M118" s="38"/>
      <c r="N118" s="38"/>
    </row>
    <row r="119" spans="2:14" ht="12.55" customHeight="1">
      <c r="B119" s="40"/>
      <c r="D119" s="33"/>
      <c r="K119" s="41"/>
      <c r="M119" s="38"/>
      <c r="N119" s="38"/>
    </row>
    <row r="120" spans="2:14" ht="12.55" customHeight="1">
      <c r="B120" s="36"/>
      <c r="D120" s="33"/>
      <c r="M120" s="38"/>
      <c r="N120" s="38"/>
    </row>
    <row r="121" spans="2:14" ht="12.55" customHeight="1">
      <c r="D121" s="33"/>
      <c r="M121" s="38"/>
      <c r="N121" s="38"/>
    </row>
    <row r="122" spans="2:14" ht="12.55" customHeight="1">
      <c r="D122" s="33"/>
      <c r="M122" s="38"/>
      <c r="N122" s="38"/>
    </row>
    <row r="123" spans="2:14" ht="12.55" customHeight="1">
      <c r="D123" s="33"/>
      <c r="M123" s="38"/>
      <c r="N123" s="38"/>
    </row>
    <row r="124" spans="2:14" ht="12.55" customHeight="1">
      <c r="D124" s="33"/>
      <c r="M124" s="38"/>
      <c r="N124" s="38"/>
    </row>
    <row r="125" spans="2:14" ht="12.55" customHeight="1">
      <c r="B125" s="42"/>
      <c r="D125" s="33"/>
      <c r="M125" s="38"/>
      <c r="N125" s="38"/>
    </row>
    <row r="126" spans="2:14" ht="12.55" customHeight="1">
      <c r="D126" s="33"/>
      <c r="M126" s="38"/>
      <c r="N126" s="38"/>
    </row>
    <row r="127" spans="2:14" ht="12.55" customHeight="1">
      <c r="D127" s="33"/>
      <c r="M127" s="38"/>
      <c r="N127" s="38"/>
    </row>
    <row r="128" spans="2:14" ht="12.55" customHeight="1">
      <c r="D128" s="33"/>
      <c r="M128" s="38"/>
      <c r="N128" s="38"/>
    </row>
    <row r="129" spans="1:15" ht="12.55" customHeight="1">
      <c r="D129" s="33"/>
      <c r="M129" s="38"/>
      <c r="N129" s="38"/>
    </row>
    <row r="130" spans="1:15" ht="12.55" customHeight="1">
      <c r="D130" s="33"/>
      <c r="M130" s="38"/>
      <c r="N130" s="38"/>
    </row>
    <row r="131" spans="1:15" ht="12.55" customHeight="1">
      <c r="A131" s="43"/>
      <c r="B131" s="43"/>
      <c r="C131" s="43"/>
      <c r="D131" s="33"/>
      <c r="E131" s="43"/>
      <c r="F131" s="43"/>
      <c r="G131" s="43"/>
      <c r="H131" s="43"/>
      <c r="I131" s="43"/>
      <c r="J131" s="43"/>
      <c r="K131" s="43"/>
      <c r="L131" s="43"/>
      <c r="M131" s="44"/>
      <c r="N131" s="44"/>
      <c r="O131" s="45"/>
    </row>
    <row r="132" spans="1:15" ht="12.55" customHeight="1">
      <c r="A132" s="43"/>
      <c r="B132" s="46"/>
      <c r="C132" s="43"/>
      <c r="D132" s="47"/>
      <c r="M132" s="44"/>
      <c r="N132" s="44"/>
      <c r="O132" s="45"/>
    </row>
    <row r="133" spans="1:15" ht="12.55" customHeight="1">
      <c r="B133" s="48"/>
      <c r="D133" s="47"/>
      <c r="M133" s="38"/>
      <c r="N133" s="38"/>
    </row>
    <row r="134" spans="1:15" ht="12.55" customHeight="1">
      <c r="D134" s="47"/>
      <c r="M134" s="38"/>
      <c r="N134" s="38"/>
    </row>
    <row r="135" spans="1:15" ht="12.55" customHeight="1">
      <c r="D135" s="47"/>
      <c r="M135" s="38"/>
      <c r="N135" s="38"/>
    </row>
    <row r="136" spans="1:15" ht="12.55" customHeight="1">
      <c r="D136" s="47"/>
      <c r="M136" s="38"/>
      <c r="N136" s="38"/>
    </row>
    <row r="137" spans="1:15" ht="12.55" customHeight="1">
      <c r="D137" s="33"/>
      <c r="M137" s="38"/>
      <c r="N137" s="38"/>
    </row>
    <row r="138" spans="1:15" ht="12.55" customHeight="1">
      <c r="B138" s="49"/>
      <c r="D138" s="33"/>
      <c r="K138" s="50"/>
      <c r="M138" s="38"/>
      <c r="N138" s="38"/>
    </row>
    <row r="139" spans="1:15" ht="12.55" customHeight="1">
      <c r="A139" s="51"/>
      <c r="B139" s="51"/>
      <c r="C139" s="51"/>
      <c r="D139" s="52"/>
      <c r="E139" s="51"/>
      <c r="F139" s="51"/>
      <c r="G139" s="51"/>
      <c r="H139" s="51"/>
      <c r="I139" s="51"/>
      <c r="J139" s="51"/>
      <c r="K139" s="51"/>
      <c r="L139" s="51"/>
      <c r="M139" s="53"/>
      <c r="N139" s="53"/>
      <c r="O139" s="54"/>
    </row>
    <row r="140" spans="1:15" ht="12.55" customHeight="1">
      <c r="D140" s="33"/>
      <c r="M140" s="38"/>
      <c r="N140" s="38"/>
    </row>
    <row r="141" spans="1:15" ht="12.55" customHeight="1">
      <c r="D141" s="33"/>
      <c r="M141" s="38"/>
      <c r="N141" s="38"/>
    </row>
    <row r="142" spans="1:15" ht="12.55" customHeight="1">
      <c r="D142" s="33"/>
      <c r="M142" s="38"/>
      <c r="N142" s="38"/>
    </row>
    <row r="143" spans="1:15" ht="12.55" customHeight="1">
      <c r="B143" s="55"/>
      <c r="D143" s="33"/>
      <c r="M143" s="38"/>
      <c r="N143" s="38"/>
    </row>
    <row r="144" spans="1:15" ht="12.55" customHeight="1">
      <c r="A144" s="56"/>
      <c r="B144" s="56"/>
      <c r="C144" s="56"/>
      <c r="D144" s="57"/>
      <c r="E144" s="56"/>
      <c r="F144" s="56"/>
      <c r="G144" s="56"/>
      <c r="H144" s="56"/>
      <c r="I144" s="56"/>
      <c r="J144" s="56"/>
      <c r="K144" s="56"/>
      <c r="L144" s="56"/>
      <c r="M144" s="58"/>
      <c r="N144" s="58"/>
      <c r="O144" s="59"/>
    </row>
    <row r="145" spans="1:15" ht="12.55" customHeight="1">
      <c r="D145" s="57"/>
      <c r="M145" s="38"/>
      <c r="N145" s="38"/>
    </row>
    <row r="146" spans="1:15" ht="12.55" customHeight="1">
      <c r="C146" s="56"/>
      <c r="D146" s="57"/>
      <c r="L146" s="56"/>
      <c r="M146" s="58"/>
      <c r="N146" s="58"/>
      <c r="O146" s="59"/>
    </row>
    <row r="147" spans="1:15" ht="12.55" customHeight="1">
      <c r="D147" s="57"/>
      <c r="M147" s="38"/>
      <c r="N147" s="38"/>
    </row>
    <row r="148" spans="1:15" ht="12.55" customHeight="1">
      <c r="B148" s="60"/>
      <c r="D148" s="33"/>
      <c r="M148" s="38"/>
      <c r="N148" s="38"/>
    </row>
    <row r="149" spans="1:15" ht="12.55" customHeight="1">
      <c r="B149" s="55"/>
      <c r="D149" s="33"/>
      <c r="M149" s="38"/>
      <c r="N149" s="38"/>
    </row>
    <row r="150" spans="1:15" ht="12.55" customHeight="1">
      <c r="D150" s="33"/>
      <c r="M150" s="38"/>
      <c r="N150" s="38"/>
    </row>
    <row r="151" spans="1:15" ht="12.55" customHeight="1">
      <c r="D151" s="33"/>
      <c r="M151" s="38"/>
      <c r="N151" s="38"/>
    </row>
    <row r="152" spans="1:15" ht="12.55" customHeight="1">
      <c r="D152" s="33"/>
      <c r="M152" s="38"/>
      <c r="N152" s="38"/>
    </row>
    <row r="153" spans="1:15" ht="12.55" customHeight="1">
      <c r="D153" s="33"/>
      <c r="M153" s="38"/>
      <c r="N153" s="38"/>
    </row>
    <row r="154" spans="1:15" ht="12.55" customHeight="1">
      <c r="B154" s="61"/>
      <c r="D154" s="33"/>
      <c r="K154" s="50"/>
      <c r="M154" s="38"/>
      <c r="N154" s="38"/>
    </row>
    <row r="155" spans="1:15" ht="12.55" customHeight="1">
      <c r="A155" s="62"/>
      <c r="D155" s="33"/>
      <c r="M155" s="38"/>
      <c r="N155" s="38"/>
    </row>
    <row r="156" spans="1:15" ht="12.55" customHeight="1">
      <c r="B156" s="63"/>
      <c r="D156" s="33"/>
      <c r="M156" s="38"/>
      <c r="N156" s="38"/>
    </row>
    <row r="157" spans="1:15" ht="12.55" customHeight="1">
      <c r="D157" s="33"/>
      <c r="M157" s="38"/>
      <c r="N157" s="38"/>
    </row>
    <row r="158" spans="1:15" ht="12.55" customHeight="1">
      <c r="D158" s="33"/>
      <c r="M158" s="38"/>
      <c r="N158" s="38"/>
    </row>
    <row r="159" spans="1:15" ht="12.55" customHeight="1">
      <c r="B159" s="64"/>
      <c r="D159" s="33"/>
      <c r="M159" s="38"/>
      <c r="N159" s="38"/>
    </row>
    <row r="160" spans="1:15" ht="12.55" customHeight="1">
      <c r="B160" s="65"/>
      <c r="D160" s="33"/>
      <c r="M160" s="38"/>
      <c r="N160" s="38"/>
    </row>
    <row r="161" spans="1:15" ht="12.55" customHeight="1">
      <c r="B161" s="66"/>
      <c r="D161" s="33"/>
      <c r="M161" s="38"/>
      <c r="N161" s="38"/>
    </row>
    <row r="162" spans="1:15" ht="12.55" customHeight="1">
      <c r="A162" s="67"/>
      <c r="B162" s="67"/>
      <c r="C162" s="67"/>
      <c r="D162" s="68"/>
      <c r="E162" s="67"/>
      <c r="F162" s="67"/>
      <c r="G162" s="67"/>
      <c r="H162" s="67"/>
      <c r="I162" s="67"/>
      <c r="J162" s="67"/>
      <c r="K162" s="67"/>
      <c r="L162" s="67"/>
      <c r="M162" s="69"/>
      <c r="N162" s="69"/>
      <c r="O162" s="70"/>
    </row>
    <row r="163" spans="1:15" ht="12.55" customHeight="1">
      <c r="B163" s="49"/>
      <c r="D163" s="68"/>
      <c r="M163" s="38"/>
      <c r="N163" s="38"/>
    </row>
    <row r="164" spans="1:15" ht="12.55" customHeight="1">
      <c r="A164" s="67"/>
      <c r="B164" s="68"/>
      <c r="C164" s="67"/>
      <c r="D164" s="68"/>
      <c r="E164" s="67"/>
      <c r="F164" s="67"/>
      <c r="G164" s="67"/>
      <c r="H164" s="67"/>
      <c r="I164" s="67"/>
      <c r="J164" s="67"/>
      <c r="K164" s="67"/>
      <c r="L164" s="67"/>
      <c r="M164" s="69"/>
      <c r="N164" s="69"/>
      <c r="O164" s="70"/>
    </row>
    <row r="165" spans="1:15" ht="12.55" customHeight="1">
      <c r="D165" s="68"/>
      <c r="M165" s="38"/>
      <c r="N165" s="38"/>
    </row>
    <row r="166" spans="1:15" ht="12.55" customHeight="1">
      <c r="B166" s="71"/>
      <c r="D166" s="68"/>
      <c r="M166" s="38"/>
      <c r="N166" s="38"/>
    </row>
    <row r="167" spans="1:15" ht="12.55" customHeight="1">
      <c r="D167" s="68"/>
      <c r="M167" s="38"/>
      <c r="N167" s="38"/>
    </row>
    <row r="168" spans="1:15" ht="12.55" customHeight="1">
      <c r="B168" s="46"/>
      <c r="D168" s="68"/>
      <c r="M168" s="38"/>
      <c r="N168" s="38"/>
    </row>
    <row r="169" spans="1:15" ht="12.55" customHeight="1">
      <c r="B169" s="46"/>
      <c r="D169" s="68"/>
      <c r="M169" s="38"/>
      <c r="N169" s="38"/>
    </row>
    <row r="170" spans="1:15" ht="12.55" customHeight="1">
      <c r="D170" s="68"/>
      <c r="M170" s="38"/>
      <c r="N170" s="38"/>
    </row>
    <row r="171" spans="1:15" ht="12.55" customHeight="1">
      <c r="A171" s="72"/>
      <c r="B171" s="72"/>
      <c r="C171" s="72"/>
      <c r="D171" s="68"/>
      <c r="E171" s="72"/>
      <c r="F171" s="72"/>
      <c r="G171" s="72"/>
      <c r="H171" s="72"/>
      <c r="I171" s="72"/>
      <c r="J171" s="72"/>
      <c r="K171" s="72"/>
      <c r="L171" s="72"/>
      <c r="M171" s="73"/>
      <c r="N171" s="73"/>
      <c r="O171" s="74"/>
    </row>
    <row r="172" spans="1:15" ht="12.55" customHeight="1">
      <c r="B172" s="37"/>
      <c r="D172" s="33"/>
      <c r="I172" s="75"/>
      <c r="M172" s="38"/>
      <c r="N172" s="38"/>
    </row>
    <row r="173" spans="1:15" ht="12.55" customHeight="1">
      <c r="B173" s="37"/>
      <c r="D173" s="33"/>
      <c r="I173" s="75"/>
      <c r="M173" s="38"/>
      <c r="N173" s="38"/>
    </row>
    <row r="174" spans="1:15" ht="12.55" customHeight="1">
      <c r="B174" s="37"/>
      <c r="D174" s="33"/>
      <c r="I174" s="75"/>
      <c r="M174" s="38"/>
      <c r="N174" s="38"/>
    </row>
    <row r="175" spans="1:15" ht="12.55" customHeight="1">
      <c r="B175" s="37"/>
      <c r="D175" s="33"/>
      <c r="M175" s="38"/>
      <c r="N175" s="38"/>
    </row>
    <row r="176" spans="1:15" ht="12.55" customHeight="1">
      <c r="A176" s="72"/>
      <c r="B176" s="72"/>
      <c r="C176" s="72"/>
      <c r="D176" s="76"/>
      <c r="E176" s="72"/>
      <c r="F176" s="72"/>
      <c r="G176" s="72"/>
      <c r="H176" s="72"/>
      <c r="I176" s="72"/>
      <c r="J176" s="72"/>
      <c r="K176" s="72"/>
      <c r="L176" s="72"/>
      <c r="M176" s="73"/>
      <c r="N176" s="73"/>
      <c r="O176" s="74"/>
    </row>
    <row r="286" spans="2:4" ht="12.55" customHeight="1">
      <c r="B286" s="37"/>
      <c r="D286" s="33"/>
    </row>
    <row r="287" spans="2:4" ht="12.55" customHeight="1">
      <c r="D287" s="33"/>
    </row>
    <row r="288" spans="2:4" ht="12.55" customHeight="1">
      <c r="D288" s="33"/>
    </row>
    <row r="289" spans="1:11" ht="12.55" customHeight="1">
      <c r="D289" s="33"/>
    </row>
    <row r="290" spans="1:11" ht="12.55" customHeight="1">
      <c r="D290" s="33"/>
    </row>
    <row r="295" spans="1:11" ht="12.55" customHeight="1">
      <c r="D295" s="33"/>
    </row>
    <row r="296" spans="1:11" ht="12.55" customHeight="1">
      <c r="D296" s="33"/>
    </row>
    <row r="297" spans="1:11" ht="12.55" customHeight="1">
      <c r="D297" s="33"/>
    </row>
    <row r="298" spans="1:11" ht="12.55" customHeight="1">
      <c r="D298" s="33"/>
    </row>
    <row r="299" spans="1:11" ht="12.55" customHeight="1">
      <c r="D299" s="33"/>
    </row>
    <row r="300" spans="1:11" ht="12.55" customHeight="1">
      <c r="D300" s="33"/>
    </row>
    <row r="301" spans="1:11" ht="12.55" customHeight="1">
      <c r="D301" s="33"/>
    </row>
    <row r="302" spans="1:11" ht="12.55" customHeight="1">
      <c r="A302" s="35"/>
      <c r="B302" s="35"/>
      <c r="D302" s="33"/>
      <c r="E302" s="35"/>
      <c r="F302" s="35"/>
      <c r="G302" s="35"/>
      <c r="H302" s="35"/>
      <c r="I302" s="35"/>
      <c r="J302" s="35"/>
      <c r="K302" s="35"/>
    </row>
    <row r="303" spans="1:11" ht="12.55" customHeight="1">
      <c r="D303" s="33"/>
    </row>
    <row r="304" spans="1:11" ht="12.55" customHeight="1">
      <c r="D304" s="33"/>
    </row>
    <row r="305" spans="2:10" ht="12.55" customHeight="1">
      <c r="B305" s="36"/>
      <c r="D305" s="33"/>
    </row>
    <row r="306" spans="2:10" ht="12.55" customHeight="1">
      <c r="D306" s="33"/>
      <c r="J306" s="35"/>
    </row>
    <row r="307" spans="2:10" ht="12.55" customHeight="1">
      <c r="D307" s="33"/>
    </row>
    <row r="308" spans="2:10" ht="12.55" customHeight="1">
      <c r="D308" s="33"/>
    </row>
    <row r="309" spans="2:10" ht="12.55" customHeight="1">
      <c r="D309" s="33"/>
    </row>
    <row r="310" spans="2:10" ht="12.55" customHeight="1">
      <c r="D310" s="33"/>
    </row>
    <row r="311" spans="2:10" ht="12.55" customHeight="1">
      <c r="D311" s="33"/>
    </row>
    <row r="312" spans="2:10" ht="12.55" customHeight="1">
      <c r="D312" s="33"/>
    </row>
    <row r="313" spans="2:10" ht="12.55" customHeight="1">
      <c r="D313" s="33"/>
    </row>
    <row r="314" spans="2:10" ht="12.55" customHeight="1">
      <c r="D314" s="33"/>
    </row>
    <row r="315" spans="2:10" ht="12.55" customHeight="1">
      <c r="D315" s="33"/>
    </row>
    <row r="316" spans="2:10" ht="12.55" customHeight="1">
      <c r="D316" s="33"/>
    </row>
    <row r="317" spans="2:10" ht="12.55" customHeight="1">
      <c r="D317" s="33"/>
    </row>
    <row r="318" spans="2:10" ht="12.55" customHeight="1">
      <c r="D318" s="33"/>
    </row>
    <row r="319" spans="2:10" ht="12.55" customHeight="1">
      <c r="D319" s="33"/>
    </row>
    <row r="320" spans="2:10" ht="12.55" customHeight="1">
      <c r="D320" s="33"/>
    </row>
    <row r="321" spans="2:4" ht="12.55" customHeight="1">
      <c r="D321" s="33"/>
    </row>
    <row r="322" spans="2:4" ht="12.55" customHeight="1">
      <c r="D322" s="33"/>
    </row>
    <row r="323" spans="2:4" ht="12.55" customHeight="1">
      <c r="D323" s="33"/>
    </row>
    <row r="325" spans="2:4" ht="12.55" customHeight="1">
      <c r="D325" s="33"/>
    </row>
    <row r="326" spans="2:4" ht="12.55" customHeight="1">
      <c r="D326" s="33"/>
    </row>
    <row r="327" spans="2:4" ht="12.55" customHeight="1">
      <c r="D327" s="33"/>
    </row>
    <row r="328" spans="2:4" ht="12.55" customHeight="1">
      <c r="B328" s="37"/>
      <c r="D328" s="33"/>
    </row>
    <row r="329" spans="2:4" ht="12.55" customHeight="1">
      <c r="D329" s="33"/>
    </row>
    <row r="330" spans="2:4" ht="12.55" customHeight="1">
      <c r="D330" s="33"/>
    </row>
    <row r="331" spans="2:4" ht="12.55" customHeight="1">
      <c r="D331" s="33"/>
    </row>
    <row r="332" spans="2:4" ht="12.55" customHeight="1">
      <c r="D332" s="33"/>
    </row>
    <row r="333" spans="2:4" ht="12.55" customHeight="1">
      <c r="D333" s="33"/>
    </row>
    <row r="334" spans="2:4" ht="12.55" customHeight="1">
      <c r="D334" s="33"/>
    </row>
    <row r="335" spans="2:4" ht="12.55" customHeight="1">
      <c r="D335" s="33"/>
    </row>
    <row r="336" spans="2:4" ht="12.55" customHeight="1">
      <c r="D336" s="33"/>
    </row>
    <row r="337" spans="4:11" ht="12.55" customHeight="1">
      <c r="D337" s="33"/>
    </row>
    <row r="338" spans="4:11" ht="12.55" customHeight="1">
      <c r="D338" s="33"/>
    </row>
    <row r="339" spans="4:11" ht="12.55" customHeight="1">
      <c r="D339" s="33"/>
    </row>
    <row r="340" spans="4:11" ht="12.55" customHeight="1">
      <c r="D340" s="33"/>
    </row>
    <row r="341" spans="4:11" ht="12.55" customHeight="1">
      <c r="D341" s="33"/>
    </row>
    <row r="342" spans="4:11" ht="12.55" customHeight="1">
      <c r="D342" s="33"/>
    </row>
    <row r="343" spans="4:11" ht="12.55" customHeight="1">
      <c r="D343" s="33"/>
    </row>
    <row r="344" spans="4:11" ht="12.55" customHeight="1">
      <c r="D344" s="33"/>
    </row>
    <row r="345" spans="4:11" ht="12.55" customHeight="1">
      <c r="D345" s="33"/>
    </row>
    <row r="346" spans="4:11" ht="12.55" customHeight="1">
      <c r="D346" s="33"/>
    </row>
    <row r="347" spans="4:11" ht="12.55" customHeight="1">
      <c r="D347" s="33"/>
    </row>
    <row r="348" spans="4:11" ht="12.55" customHeight="1">
      <c r="D348" s="33"/>
    </row>
    <row r="349" spans="4:11" ht="12.55" customHeight="1">
      <c r="D349" s="33"/>
      <c r="E349" s="33"/>
      <c r="K349" s="35"/>
    </row>
    <row r="350" spans="4:11" ht="12.55" customHeight="1">
      <c r="D350" s="33"/>
      <c r="E350" s="33"/>
    </row>
    <row r="351" spans="4:11" ht="12.55" customHeight="1">
      <c r="D351" s="33"/>
    </row>
    <row r="352" spans="4:11" ht="12.55" customHeight="1">
      <c r="D352" s="33"/>
    </row>
    <row r="353" spans="1:11" ht="12.55" customHeight="1">
      <c r="D353" s="33"/>
    </row>
    <row r="354" spans="1:11" ht="12.55" customHeight="1">
      <c r="A354" s="35"/>
      <c r="B354" s="35"/>
      <c r="C354" s="35"/>
      <c r="D354" s="33"/>
      <c r="E354" s="35"/>
      <c r="F354" s="35"/>
      <c r="G354" s="35"/>
      <c r="H354" s="35"/>
      <c r="I354" s="35"/>
      <c r="J354" s="35"/>
      <c r="K354" s="35"/>
    </row>
    <row r="355" spans="1:11" ht="12.55" customHeight="1">
      <c r="A355" s="35"/>
      <c r="B355" s="35"/>
      <c r="C355" s="35"/>
      <c r="D355" s="33"/>
      <c r="E355" s="35"/>
      <c r="H355" s="35"/>
    </row>
    <row r="356" spans="1:11" ht="12.55" customHeight="1">
      <c r="D356" s="33"/>
    </row>
    <row r="357" spans="1:11" ht="12.55" customHeight="1">
      <c r="D357" s="33"/>
    </row>
    <row r="358" spans="1:11" ht="12.55" customHeight="1">
      <c r="D358" s="33"/>
    </row>
    <row r="359" spans="1:11" ht="12.55" customHeight="1">
      <c r="D359" s="33"/>
    </row>
    <row r="360" spans="1:11" ht="12.55" customHeight="1">
      <c r="D360" s="33"/>
    </row>
    <row r="361" spans="1:11" ht="12.55" customHeight="1">
      <c r="D361" s="33"/>
    </row>
    <row r="362" spans="1:11" ht="12.55" customHeight="1">
      <c r="D362" s="33"/>
    </row>
    <row r="363" spans="1:11" ht="12.55" customHeight="1">
      <c r="B363" s="36"/>
      <c r="D363" s="33"/>
    </row>
    <row r="364" spans="1:11" ht="12.55" customHeight="1">
      <c r="D364" s="33"/>
    </row>
    <row r="365" spans="1:11" ht="12.55" customHeight="1">
      <c r="D365" s="33"/>
    </row>
    <row r="366" spans="1:11" ht="12.55" customHeight="1">
      <c r="D366" s="33"/>
    </row>
    <row r="367" spans="1:11" ht="12.55" customHeight="1">
      <c r="D367" s="33"/>
    </row>
    <row r="368" spans="1:11" ht="12.55" customHeight="1">
      <c r="D368" s="33"/>
    </row>
    <row r="369" spans="2:4" ht="12.55" customHeight="1">
      <c r="D369" s="33"/>
    </row>
    <row r="370" spans="2:4" ht="12.55" customHeight="1">
      <c r="D370" s="33"/>
    </row>
    <row r="371" spans="2:4" ht="12.55" customHeight="1">
      <c r="D371" s="33"/>
    </row>
    <row r="372" spans="2:4" ht="12.55" customHeight="1">
      <c r="D372" s="33"/>
    </row>
    <row r="373" spans="2:4" ht="12.55" customHeight="1">
      <c r="D373" s="33"/>
    </row>
    <row r="374" spans="2:4" ht="12.55" customHeight="1">
      <c r="B374" s="35"/>
      <c r="D374" s="33"/>
    </row>
    <row r="375" spans="2:4" ht="12.55" customHeight="1">
      <c r="D375" s="33"/>
    </row>
    <row r="376" spans="2:4" ht="12.55" customHeight="1">
      <c r="D376" s="33"/>
    </row>
    <row r="377" spans="2:4" ht="12.55" customHeight="1">
      <c r="D377" s="33"/>
    </row>
    <row r="378" spans="2:4" ht="12.55" customHeight="1">
      <c r="D378" s="33"/>
    </row>
    <row r="379" spans="2:4" ht="12.55" customHeight="1">
      <c r="D379" s="33"/>
    </row>
    <row r="380" spans="2:4" ht="12.55" customHeight="1">
      <c r="D380" s="33"/>
    </row>
    <row r="381" spans="2:4" ht="12.55" customHeight="1">
      <c r="D381" s="33"/>
    </row>
    <row r="382" spans="2:4" ht="12.55" customHeight="1">
      <c r="B382" s="37"/>
      <c r="D382" s="33"/>
    </row>
    <row r="383" spans="2:4" ht="12.55" customHeight="1">
      <c r="D383" s="33"/>
    </row>
    <row r="384" spans="2:4" ht="12.55" customHeight="1">
      <c r="D384" s="33"/>
    </row>
    <row r="385" spans="2:4" ht="12.55" customHeight="1">
      <c r="D385" s="33"/>
    </row>
    <row r="386" spans="2:4" ht="12.55" customHeight="1">
      <c r="D386" s="33"/>
    </row>
    <row r="387" spans="2:4" ht="12.55" customHeight="1">
      <c r="D387" s="33"/>
    </row>
    <row r="388" spans="2:4" ht="12.55" customHeight="1">
      <c r="D388" s="33"/>
    </row>
    <row r="389" spans="2:4" ht="12.55" customHeight="1">
      <c r="B389" s="37"/>
      <c r="D389" s="33"/>
    </row>
    <row r="390" spans="2:4" ht="12.55" customHeight="1">
      <c r="D390" s="33"/>
    </row>
  </sheetData>
  <mergeCells count="3">
    <mergeCell ref="A3:A4"/>
    <mergeCell ref="C1:H1"/>
    <mergeCell ref="J3:K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FilterOR">
                <anchor moveWithCells="1" sizeWithCells="1">
                  <from>
                    <xdr:col>8</xdr:col>
                    <xdr:colOff>27214</xdr:colOff>
                    <xdr:row>2</xdr:row>
                    <xdr:rowOff>10886</xdr:rowOff>
                  </from>
                  <to>
                    <xdr:col>8</xdr:col>
                    <xdr:colOff>990600</xdr:colOff>
                    <xdr:row>2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FilterAND">
                <anchor moveWithCells="1" sizeWithCells="1">
                  <from>
                    <xdr:col>8</xdr:col>
                    <xdr:colOff>27214</xdr:colOff>
                    <xdr:row>3</xdr:row>
                    <xdr:rowOff>10886</xdr:rowOff>
                  </from>
                  <to>
                    <xdr:col>8</xdr:col>
                    <xdr:colOff>990600</xdr:colOff>
                    <xdr:row>3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RemoveFilters">
                <anchor moveWithCells="1" sizeWithCells="1">
                  <from>
                    <xdr:col>8</xdr:col>
                    <xdr:colOff>1028700</xdr:colOff>
                    <xdr:row>2</xdr:row>
                    <xdr:rowOff>0</xdr:rowOff>
                  </from>
                  <to>
                    <xdr:col>8</xdr:col>
                    <xdr:colOff>2122714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README</vt:lpstr>
      <vt:lpstr>Reading_list</vt:lpstr>
      <vt:lpstr>Reading_list!Extract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Tim Williams</cp:lastModifiedBy>
  <dcterms:created xsi:type="dcterms:W3CDTF">2017-09-15T14:21:23Z</dcterms:created>
  <dcterms:modified xsi:type="dcterms:W3CDTF">2018-02-01T03:05:50Z</dcterms:modified>
</cp:coreProperties>
</file>